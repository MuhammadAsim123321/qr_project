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\Fiverr\projects\PdfToExcelDropdown\Delivery\"/>
    </mc:Choice>
  </mc:AlternateContent>
  <xr:revisionPtr revIDLastSave="0" documentId="13_ncr:1_{B7E30D5B-1EB0-4FBA-B673-2B2179A4EB94}" xr6:coauthVersionLast="47" xr6:coauthVersionMax="47" xr10:uidLastSave="{00000000-0000-0000-0000-000000000000}"/>
  <bookViews>
    <workbookView xWindow="-120" yWindow="-120" windowWidth="20730" windowHeight="11040" xr2:uid="{A838DEC1-396F-4D33-84ED-0B7E7E2E960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D12" i="1" s="1"/>
  <c r="D11" i="1"/>
  <c r="C10" i="1"/>
  <c r="B11" i="1"/>
  <c r="F1" i="1"/>
</calcChain>
</file>

<file path=xl/sharedStrings.xml><?xml version="1.0" encoding="utf-8"?>
<sst xmlns="http://schemas.openxmlformats.org/spreadsheetml/2006/main" count="68" uniqueCount="66">
  <si>
    <t>QTA Anodizing Router</t>
  </si>
  <si>
    <t>XPEDITE</t>
  </si>
  <si>
    <t>CUSTOMER:</t>
  </si>
  <si>
    <t>PART NAME:</t>
  </si>
  <si>
    <t>DRAWING#:</t>
  </si>
  <si>
    <t>PO/Verbal:</t>
  </si>
  <si>
    <t>QNTY RAN:</t>
  </si>
  <si>
    <t>DATE:</t>
  </si>
  <si>
    <t>MATERAIL:</t>
  </si>
  <si>
    <t>5052 AL</t>
  </si>
  <si>
    <t>SHIPPED BY:</t>
  </si>
  <si>
    <t>RCVD BY:</t>
  </si>
  <si>
    <t>RUN TYPE:</t>
  </si>
  <si>
    <t>PARTS:</t>
  </si>
  <si>
    <t>12 ASF</t>
  </si>
  <si>
    <t xml:space="preserve">ETCH 3 MIN  </t>
  </si>
  <si>
    <t xml:space="preserve">ETCH 5 MIN  </t>
  </si>
  <si>
    <t xml:space="preserve">EXPED  </t>
  </si>
  <si>
    <t xml:space="preserve">NO ETCH  </t>
  </si>
  <si>
    <t xml:space="preserve">NO ETCH - CAST MTRL  </t>
  </si>
  <si>
    <t xml:space="preserve">NO ETCH/5 MIN DESMUT  </t>
  </si>
  <si>
    <t xml:space="preserve">NO SEAL  </t>
  </si>
  <si>
    <t xml:space="preserve">NO SEAL/PTFE TEFLON  </t>
  </si>
  <si>
    <t xml:space="preserve">PTFE TEFLON  </t>
  </si>
  <si>
    <t xml:space="preserve">RUN ON LG AL RACK  </t>
  </si>
  <si>
    <t xml:space="preserve">RUN ON MD AL RACK  </t>
  </si>
  <si>
    <t xml:space="preserve">RUN ON ROUND RACK  </t>
  </si>
  <si>
    <t xml:space="preserve">RUN ON SQ RACK  </t>
  </si>
  <si>
    <t xml:space="preserve">STRIP 10 MIN/ETCH 5 MIN  </t>
  </si>
  <si>
    <t xml:space="preserve">STRP 6 MIN/ETCH 2 MIN  </t>
  </si>
  <si>
    <t xml:space="preserve">STRIP ONLY  </t>
  </si>
  <si>
    <t xml:space="preserve">STRIP/ RE-ANODIZE  </t>
  </si>
  <si>
    <t>Type I, Class 1 (CLEAR)</t>
  </si>
  <si>
    <t>Type II, Class 1 (CLEAR)</t>
  </si>
  <si>
    <t>Type II, Class 2 (BLACK)</t>
  </si>
  <si>
    <t>Type II, Class 2 (BLUE-A)</t>
  </si>
  <si>
    <t>Type II, Class 2 (BORDEAUX RED)</t>
  </si>
  <si>
    <t>Type II, Class 2 (BROWN-GL)</t>
  </si>
  <si>
    <t>Type II, Class 2 (CAMO BROWN)</t>
  </si>
  <si>
    <t>Type II, Class 2 (DARK BLUE)</t>
  </si>
  <si>
    <t>Type II, Class 2 (GOLD S)</t>
  </si>
  <si>
    <t>Type II, Class 2 (GREEN AEN)</t>
  </si>
  <si>
    <t>Type II, Class 2 (GREY)</t>
  </si>
  <si>
    <t>Type II, Class 2 (LANTZ MEDICAL BLUE)</t>
  </si>
  <si>
    <t>Type II, Class 2 (NEON PINK)</t>
  </si>
  <si>
    <t>Type II, Class 2 (OLIVE DRAB)</t>
  </si>
  <si>
    <t>Type II, Class 2 (ORANGE 2B)</t>
  </si>
  <si>
    <t>Type II, Class 2 (TEAL)</t>
  </si>
  <si>
    <t>Type II, Class 2 (VIOLET 3D)</t>
  </si>
  <si>
    <t>Type II, Class 2 (YELLOW 4A)</t>
  </si>
  <si>
    <t>Type III, Class 1 (CLEAR)</t>
  </si>
  <si>
    <t>Type III, Class 1 (CLEAR) W/ PTFE TEFLON</t>
  </si>
  <si>
    <t>Type III, Class 1 (CLEAR)(2 MIL)</t>
  </si>
  <si>
    <t>Type III, Class 2 (BLACK)</t>
  </si>
  <si>
    <t>Single Part Surface Area IN²:</t>
  </si>
  <si>
    <t>TOTAL IN² of Run:</t>
  </si>
  <si>
    <t>=</t>
  </si>
  <si>
    <t>TOTAL AMPS:</t>
  </si>
  <si>
    <t>AMPS/PART:</t>
  </si>
  <si>
    <t>Time(MIN):</t>
  </si>
  <si>
    <t>TIME(SEC):</t>
  </si>
  <si>
    <t>SHIPPED</t>
  </si>
  <si>
    <t>COC &amp; PICTURES</t>
  </si>
  <si>
    <t>Method 2</t>
  </si>
  <si>
    <t>Chemical</t>
  </si>
  <si>
    <t>Citrisurf-2250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</si>
</sst>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12</xdr:row>
          <xdr:rowOff>152400</xdr:rowOff>
        </xdr:from>
        <xdr:to>
          <xdr:col>0</xdr:col>
          <xdr:colOff>819150</xdr:colOff>
          <xdr:row>13</xdr:row>
          <xdr:rowOff>171450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Thickness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12</xdr:row>
          <xdr:rowOff>171450</xdr:rowOff>
        </xdr:from>
        <xdr:to>
          <xdr:col>3</xdr:col>
          <xdr:colOff>47625</xdr:colOff>
          <xdr:row>14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Color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13</xdr:row>
          <xdr:rowOff>19050</xdr:rowOff>
        </xdr:from>
        <xdr:to>
          <xdr:col>4</xdr:col>
          <xdr:colOff>9525</xdr:colOff>
          <xdr:row>14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F2D7-1FC8-4B50-A4A3-108F0DD06CDE}">
  <dimension ref="A1:J14"/>
  <sheetViews>
    <sheetView showGridLines="0" tabSelected="1" zoomScale="140" zoomScaleNormal="140" workbookViewId="0">
      <selection activeCell="B12" sqref="B12"/>
    </sheetView>
  </sheetViews>
  <sheetFormatPr defaultRowHeight="15" x14ac:dyDescent="0.25"/>
  <cols>
    <col min="1" max="1" width="14.85546875" customWidth="1"/>
  </cols>
  <sheetData>
    <row r="1" spans="1:10" ht="18.75" x14ac:dyDescent="0.3">
      <c r="A1" s="8" t="s">
        <v>1</v>
      </c>
      <c r="B1" s="14" t="s">
        <v>0</v>
      </c>
      <c r="C1" s="14"/>
      <c r="D1" s="14"/>
      <c r="E1" s="14"/>
      <c r="F1" s="8" t="str">
        <f>A1</f>
        <v>XPEDITE</v>
      </c>
    </row>
    <row r="2" spans="1:10" x14ac:dyDescent="0.25">
      <c r="A2" t="s">
        <v>2</v>
      </c>
      <c r="B2" s="13"/>
      <c r="C2" s="13"/>
      <c r="D2" s="13"/>
      <c r="E2" s="13"/>
      <c r="H2" t="s">
        <v>63</v>
      </c>
    </row>
    <row r="3" spans="1:10" x14ac:dyDescent="0.25">
      <c r="A3" t="s">
        <v>3</v>
      </c>
      <c r="B3" s="12"/>
      <c r="C3" s="12"/>
      <c r="D3" s="12"/>
      <c r="E3" s="12"/>
      <c r="F3" s="1"/>
      <c r="I3" t="s">
        <v>64</v>
      </c>
      <c r="J3" t="s">
        <v>65</v>
      </c>
    </row>
    <row r="4" spans="1:10" x14ac:dyDescent="0.25">
      <c r="A4" t="s">
        <v>4</v>
      </c>
      <c r="B4" s="12"/>
      <c r="C4" s="12"/>
      <c r="D4" s="12"/>
      <c r="E4" t="s">
        <v>7</v>
      </c>
      <c r="F4" s="1"/>
    </row>
    <row r="5" spans="1:10" x14ac:dyDescent="0.25">
      <c r="A5" t="s">
        <v>5</v>
      </c>
      <c r="B5" s="12"/>
      <c r="C5" s="12"/>
      <c r="D5" s="12"/>
      <c r="E5" t="s">
        <v>8</v>
      </c>
      <c r="F5" s="5" t="s">
        <v>9</v>
      </c>
    </row>
    <row r="6" spans="1:10" x14ac:dyDescent="0.25">
      <c r="A6" t="s">
        <v>6</v>
      </c>
      <c r="B6" s="5">
        <v>10</v>
      </c>
      <c r="C6" t="s">
        <v>11</v>
      </c>
      <c r="D6" s="5"/>
      <c r="E6" t="s">
        <v>10</v>
      </c>
      <c r="F6" s="6"/>
    </row>
    <row r="7" spans="1:10" x14ac:dyDescent="0.25">
      <c r="A7" t="s">
        <v>12</v>
      </c>
      <c r="B7" s="15" t="s">
        <v>15</v>
      </c>
      <c r="C7" s="15"/>
      <c r="D7" s="15"/>
      <c r="E7" t="s">
        <v>13</v>
      </c>
      <c r="F7" s="2" t="s">
        <v>61</v>
      </c>
    </row>
    <row r="8" spans="1:10" x14ac:dyDescent="0.25">
      <c r="A8" t="s">
        <v>14</v>
      </c>
      <c r="B8" s="16" t="s">
        <v>33</v>
      </c>
      <c r="C8" s="16"/>
      <c r="D8" s="16"/>
      <c r="E8" s="16"/>
      <c r="F8" s="16"/>
    </row>
    <row r="9" spans="1:10" x14ac:dyDescent="0.25">
      <c r="A9" s="10" t="s">
        <v>54</v>
      </c>
      <c r="B9" s="10"/>
      <c r="C9" s="10"/>
      <c r="D9" s="5">
        <v>10</v>
      </c>
    </row>
    <row r="10" spans="1:10" x14ac:dyDescent="0.25">
      <c r="A10" s="10" t="s">
        <v>55</v>
      </c>
      <c r="B10" s="10"/>
      <c r="C10" s="11">
        <f>B6*D9</f>
        <v>100</v>
      </c>
      <c r="D10" s="11"/>
      <c r="E10" s="7" t="s">
        <v>56</v>
      </c>
      <c r="F10" s="6">
        <v>100</v>
      </c>
    </row>
    <row r="11" spans="1:10" x14ac:dyDescent="0.25">
      <c r="A11" t="s">
        <v>57</v>
      </c>
      <c r="B11" s="3">
        <f>F10*0.083</f>
        <v>8.3000000000000007</v>
      </c>
      <c r="C11" t="s">
        <v>58</v>
      </c>
      <c r="D11" s="4">
        <f>D9*0.083333333</f>
        <v>0.83333332999999998</v>
      </c>
    </row>
    <row r="12" spans="1:10" x14ac:dyDescent="0.25">
      <c r="A12" t="s">
        <v>59</v>
      </c>
      <c r="B12" s="3">
        <f>INDEX(Sheet3!B:B, MATCH(B8, Sheet3!A:A, 0))</f>
        <v>18</v>
      </c>
      <c r="C12" t="s">
        <v>60</v>
      </c>
      <c r="D12" s="3">
        <f>B12*60</f>
        <v>1080</v>
      </c>
    </row>
    <row r="14" spans="1:10" x14ac:dyDescent="0.25">
      <c r="E14" s="9" t="s">
        <v>62</v>
      </c>
    </row>
  </sheetData>
  <mergeCells count="10">
    <mergeCell ref="B2:E2"/>
    <mergeCell ref="B3:E3"/>
    <mergeCell ref="B1:E1"/>
    <mergeCell ref="B7:D7"/>
    <mergeCell ref="B8:F8"/>
    <mergeCell ref="A9:C9"/>
    <mergeCell ref="A10:B10"/>
    <mergeCell ref="C10:D10"/>
    <mergeCell ref="B4:D4"/>
    <mergeCell ref="B5:D5"/>
  </mergeCells>
  <dataValidations count="4">
    <dataValidation type="list" allowBlank="1" showInputMessage="1" sqref="A1" xr:uid="{6F0065D9-E61D-42CF-A54D-57346B223379}">
      <formula1>" ,XPEDITE"</formula1>
    </dataValidation>
    <dataValidation type="list" allowBlank="1" showInputMessage="1" sqref="F5" xr:uid="{32D06287-C5ED-4D57-895D-F236F9BE67A5}">
      <formula1>", 5052 AL, 6061 AL, 7000 AL, MIC-6 AL"</formula1>
    </dataValidation>
    <dataValidation type="list" allowBlank="1" showInputMessage="1" sqref="F7" xr:uid="{C1B93CCD-A819-49E6-9342-5626E39A272B}">
      <formula1>"PICK-UP, SHIPPED"</formula1>
    </dataValidation>
    <dataValidation type="list" allowBlank="1" showInputMessage="1" sqref="E14" xr:uid="{B422BF05-D655-45F4-9C56-0213F26E0E09}">
      <formula1>"COC, COC &amp; PICTURES, PICTURES"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0</xdr:col>
                    <xdr:colOff>19050</xdr:colOff>
                    <xdr:row>12</xdr:row>
                    <xdr:rowOff>152400</xdr:rowOff>
                  </from>
                  <to>
                    <xdr:col>0</xdr:col>
                    <xdr:colOff>819150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</xdr:col>
                    <xdr:colOff>466725</xdr:colOff>
                    <xdr:row>12</xdr:row>
                    <xdr:rowOff>171450</xdr:rowOff>
                  </from>
                  <to>
                    <xdr:col>3</xdr:col>
                    <xdr:colOff>47625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3</xdr:col>
                    <xdr:colOff>295275</xdr:colOff>
                    <xdr:row>13</xdr:row>
                    <xdr:rowOff>19050</xdr:rowOff>
                  </from>
                  <to>
                    <xdr:col>4</xdr:col>
                    <xdr:colOff>9525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DFBBB0A1-E04A-4333-B09A-3B4880B3C823}">
          <x14:formula1>
            <xm:f>Sheet2!C1:C22</xm:f>
          </x14:formula1>
          <xm:sqref>C8:F8</xm:sqref>
        </x14:dataValidation>
        <x14:dataValidation type="list" allowBlank="1" showInputMessage="1" xr:uid="{97BF1D77-D61D-4B16-A9D5-3DF11FF868DD}">
          <x14:formula1>
            <xm:f>Sheet2!A1:A17</xm:f>
          </x14:formula1>
          <xm:sqref>B7:D7</xm:sqref>
        </x14:dataValidation>
        <x14:dataValidation type="list" allowBlank="1" showInputMessage="1" xr:uid="{55BC012F-C3E1-4524-AC24-A39EDDC08967}">
          <x14:formula1>
            <xm:f>Sheet3!A1:A22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D30B-4826-46E7-B4DF-990FC0FA942B}">
  <dimension ref="A1:A17"/>
  <sheetViews>
    <sheetView workbookViewId="0">
      <selection activeCell="E9" sqref="E9"/>
    </sheetView>
  </sheetViews>
  <sheetFormatPr defaultRowHeight="15" x14ac:dyDescent="0.25"/>
  <cols>
    <col min="1" max="1" width="24.5703125" bestFit="1" customWidth="1"/>
  </cols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56BC-3023-472D-BB10-5379C2D94D03}">
  <dimension ref="A1:B22"/>
  <sheetViews>
    <sheetView workbookViewId="0">
      <selection activeCell="A2" sqref="A2"/>
    </sheetView>
  </sheetViews>
  <sheetFormatPr defaultRowHeight="15" x14ac:dyDescent="0.25"/>
  <cols>
    <col min="1" max="1" width="37.28515625" bestFit="1" customWidth="1"/>
  </cols>
  <sheetData>
    <row r="1" spans="1:2" x14ac:dyDescent="0.25">
      <c r="A1" t="s">
        <v>32</v>
      </c>
      <c r="B1">
        <v>12</v>
      </c>
    </row>
    <row r="2" spans="1:2" x14ac:dyDescent="0.25">
      <c r="A2" t="s">
        <v>33</v>
      </c>
      <c r="B2">
        <v>18</v>
      </c>
    </row>
    <row r="3" spans="1:2" x14ac:dyDescent="0.25">
      <c r="A3" t="s">
        <v>34</v>
      </c>
      <c r="B3">
        <v>45</v>
      </c>
    </row>
    <row r="4" spans="1:2" x14ac:dyDescent="0.25">
      <c r="A4" t="s">
        <v>35</v>
      </c>
      <c r="B4">
        <v>38</v>
      </c>
    </row>
    <row r="5" spans="1:2" x14ac:dyDescent="0.25">
      <c r="A5" t="s">
        <v>36</v>
      </c>
      <c r="B5">
        <v>38</v>
      </c>
    </row>
    <row r="6" spans="1:2" x14ac:dyDescent="0.25">
      <c r="A6" t="s">
        <v>37</v>
      </c>
      <c r="B6">
        <v>30</v>
      </c>
    </row>
    <row r="7" spans="1:2" x14ac:dyDescent="0.25">
      <c r="A7" t="s">
        <v>38</v>
      </c>
      <c r="B7">
        <v>18</v>
      </c>
    </row>
    <row r="8" spans="1:2" x14ac:dyDescent="0.25">
      <c r="A8" t="s">
        <v>39</v>
      </c>
      <c r="B8">
        <v>45</v>
      </c>
    </row>
    <row r="9" spans="1:2" x14ac:dyDescent="0.25">
      <c r="A9" t="s">
        <v>40</v>
      </c>
      <c r="B9">
        <v>30</v>
      </c>
    </row>
    <row r="10" spans="1:2" x14ac:dyDescent="0.25">
      <c r="A10" t="s">
        <v>41</v>
      </c>
      <c r="B10">
        <v>45</v>
      </c>
    </row>
    <row r="11" spans="1:2" x14ac:dyDescent="0.25">
      <c r="A11" t="s">
        <v>42</v>
      </c>
      <c r="B11">
        <v>12</v>
      </c>
    </row>
    <row r="12" spans="1:2" x14ac:dyDescent="0.25">
      <c r="A12" t="s">
        <v>43</v>
      </c>
      <c r="B12">
        <v>25</v>
      </c>
    </row>
    <row r="13" spans="1:2" x14ac:dyDescent="0.25">
      <c r="A13" t="s">
        <v>44</v>
      </c>
      <c r="B13">
        <v>30</v>
      </c>
    </row>
    <row r="14" spans="1:2" x14ac:dyDescent="0.25">
      <c r="A14" t="s">
        <v>45</v>
      </c>
      <c r="B14">
        <v>35</v>
      </c>
    </row>
    <row r="15" spans="1:2" x14ac:dyDescent="0.25">
      <c r="A15" t="s">
        <v>46</v>
      </c>
      <c r="B15">
        <v>38</v>
      </c>
    </row>
    <row r="16" spans="1:2" x14ac:dyDescent="0.25">
      <c r="A16" t="s">
        <v>47</v>
      </c>
      <c r="B16">
        <v>38</v>
      </c>
    </row>
    <row r="17" spans="1:2" x14ac:dyDescent="0.25">
      <c r="A17" t="s">
        <v>48</v>
      </c>
      <c r="B17">
        <v>45</v>
      </c>
    </row>
    <row r="18" spans="1:2" x14ac:dyDescent="0.25">
      <c r="A18" t="s">
        <v>49</v>
      </c>
      <c r="B18">
        <v>15</v>
      </c>
    </row>
    <row r="19" spans="1:2" x14ac:dyDescent="0.25">
      <c r="A19" t="s">
        <v>50</v>
      </c>
      <c r="B19">
        <v>105</v>
      </c>
    </row>
    <row r="20" spans="1:2" x14ac:dyDescent="0.25">
      <c r="A20" t="s">
        <v>51</v>
      </c>
      <c r="B20">
        <v>105</v>
      </c>
    </row>
    <row r="21" spans="1:2" x14ac:dyDescent="0.25">
      <c r="A21" t="s">
        <v>52</v>
      </c>
      <c r="B21">
        <v>140</v>
      </c>
    </row>
    <row r="22" spans="1:2" x14ac:dyDescent="0.25">
      <c r="A22" t="s">
        <v>53</v>
      </c>
      <c r="B2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Muhammad Asim</cp:lastModifiedBy>
  <dcterms:created xsi:type="dcterms:W3CDTF">2025-08-02T13:11:44Z</dcterms:created>
  <dcterms:modified xsi:type="dcterms:W3CDTF">2025-10-08T19:55:51Z</dcterms:modified>
</cp:coreProperties>
</file>